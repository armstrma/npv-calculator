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 Model" sheetId="2" state="visible" r:id="rId4"/>
    <sheet name="Decision Analysis" sheetId="3" state="visible" r:id="rId5"/>
    <sheet name="NPV Curv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<sst xmlns="http://schemas.openxmlformats.org/spreadsheetml/2006/main" count="88" uniqueCount="81">
  <si>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 xml:space="preserve">NPV Lab  ·  Capital Planning Model Export</t>
  </si>
  <si>
    <t xml:space="preserve">npvlab.com  ·  Export Date: June 06, 2026  ·  Add periods by extending column E rightward in DCF Model</t>
  </si>
  <si>
    <t xml:space="preserve">Blue = User input   |   Black = Formula   |   Green = Cross-sheet link</t>
  </si>
  <si>
    <t xml:space="preserve">MODEL INPUTS</t>
  </si>
  <si>
    <t xml:space="preserve">Parameter</t>
  </si>
  <si>
    <t xml:space="preserve">Value</t>
  </si>
  <si>
    <t xml:space="preserve">Notes</t>
  </si>
  <si>
    <t xml:space="preserve">Initial Investment</t>
  </si>
  <si>
    <t xml:space="preserve">Upfront capital outlay</t>
  </si>
  <si>
    <t xml:space="preserve">Hurdle Rate (Discount Rate)</t>
  </si>
  <si>
    <t xml:space="preserve">WACC or required return on capital</t>
  </si>
  <si>
    <t xml:space="preserve">Sensitivity Threshold</t>
  </si>
  <si>
    <t xml:space="preserve">Maximum acceptable variance in assumptions</t>
  </si>
  <si>
    <t xml:space="preserve">CASH FLOW PROJECTIONS</t>
  </si>
  <si>
    <t xml:space="preserve">Period</t>
  </si>
  <si>
    <t xml:space="preserve">Cash Flow ($)</t>
  </si>
  <si>
    <t xml:space="preserve">Year 1</t>
  </si>
  <si>
    <t xml:space="preserve">Operating cash flow</t>
  </si>
  <si>
    <t xml:space="preserve">Year 2</t>
  </si>
  <si>
    <t xml:space="preserve">Year 3</t>
  </si>
  <si>
    <t xml:space="preserve">Operating cash flow + terminal residual</t>
  </si>
  <si>
    <t xml:space="preserve">DCF Model  ·  All inputs link from Assumptions tab</t>
  </si>
  <si>
    <t xml:space="preserve">Extend column E rightward for more periods  ·  Update NPV/IRR ranges in rows 14-15 accordingly</t>
  </si>
  <si>
    <t xml:space="preserve">Year 0</t>
  </si>
  <si>
    <t xml:space="preserve">Period  t =</t>
  </si>
  <si>
    <t xml:space="preserve">Reference only — drives discount factor formula</t>
  </si>
  <si>
    <t xml:space="preserve">Year 0 = negative initial outlay; Years 1+ = positive inflows</t>
  </si>
  <si>
    <t xml:space="preserve">Discount Factor</t>
  </si>
  <si>
    <t xml:space="preserve">Formula: 1 / (1 + Hurdle Rate)^t  ·  Copy formula rightward for additional years</t>
  </si>
  <si>
    <t xml:space="preserve">Present Value ($)</t>
  </si>
  <si>
    <t xml:space="preserve">Cash Flow x Discount Factor</t>
  </si>
  <si>
    <t xml:space="preserve">Cumulative Cash Flow ($)</t>
  </si>
  <si>
    <t xml:space="preserve">Running undiscounted total  ·  Crosses $0 = simple payback point</t>
  </si>
  <si>
    <t xml:space="preserve">Cumulative PV ($)</t>
  </si>
  <si>
    <t xml:space="preserve">Running discounted total  ·  Crosses $0 = discounted payback point (matches NPV Lab display)</t>
  </si>
  <si>
    <t xml:space="preserve">INVESTMENT SUMMARY</t>
  </si>
  <si>
    <t xml:space="preserve">Metric</t>
  </si>
  <si>
    <t xml:space="preserve">Formula Notes</t>
  </si>
  <si>
    <t xml:space="preserve">Net Present Value (NPV)</t>
  </si>
  <si>
    <t xml:space="preserve">NPV(rate, CF1..CFn) + Year 0 CF  ·  Extend value range for more periods</t>
  </si>
  <si>
    <t xml:space="preserve">Internal Rate of Return (IRR)</t>
  </si>
  <si>
    <t xml:space="preserve">IRR(Year 0 CF : Last Year CF)  ·  Extend range for more periods</t>
  </si>
  <si>
    <t xml:space="preserve">Simple Payback Period</t>
  </si>
  <si>
    <t xml:space="preserve">Year of recovery + fractional interpolation (remaining balance / that year CF)</t>
  </si>
  <si>
    <t xml:space="preserve">Discounted Payback Period</t>
  </si>
  <si>
    <t xml:space="preserve">Same logic using discounted PVs — mirrors NPV Lab display</t>
  </si>
  <si>
    <t xml:space="preserve">Return on Invested Capital</t>
  </si>
  <si>
    <t xml:space="preserve">NPV / Initial Investment  ·  Quick measure of value created per $ deployed</t>
  </si>
  <si>
    <t xml:space="preserve">Decision Analysis  ·  Powered by NPV Lab</t>
  </si>
  <si>
    <t xml:space="preserve">Replicates NPV Lab's judgment layer — answering 'should you trust this NPV?'</t>
  </si>
  <si>
    <t xml:space="preserve">DECISION SUMMARY</t>
  </si>
  <si>
    <t xml:space="preserve">Check</t>
  </si>
  <si>
    <t xml:space="preserve">Result</t>
  </si>
  <si>
    <t xml:space="preserve">Threshold / Benchmark</t>
  </si>
  <si>
    <t xml:space="preserve">Interpretation</t>
  </si>
  <si>
    <t xml:space="preserve">Creates Value  (NPV &gt; 0)</t>
  </si>
  <si>
    <t xml:space="preserve">$0</t>
  </si>
  <si>
    <t xml:space="preserve">IRR Spread  (IRR minus Hurdle Rate)</t>
  </si>
  <si>
    <t xml:space="preserve">Spread Rating</t>
  </si>
  <si>
    <t xml:space="preserve">Max Initial Investment  (Break-Even Cost)</t>
  </si>
  <si>
    <t xml:space="preserve">Durability  (Absorbs Sensitivity% Cost Overrun?)</t>
  </si>
  <si>
    <t xml:space="preserve">OVERALL VERDICT</t>
  </si>
  <si>
    <t xml:space="preserve">—</t>
  </si>
  <si>
    <t xml:space="preserve">STRESS TEST</t>
  </si>
  <si>
    <t xml:space="preserve">Scenario</t>
  </si>
  <si>
    <t xml:space="preserve">Stressed Result</t>
  </si>
  <si>
    <t xml:space="preserve">Base Case</t>
  </si>
  <si>
    <t xml:space="preserve">What To Look For</t>
  </si>
  <si>
    <t xml:space="preserve">Cost Overrun  (+Sensitivity%)</t>
  </si>
  <si>
    <t xml:space="preserve">NPV if initial investment runs over by the sensitivity threshold  ·  If negative: zero cushion on cost side</t>
  </si>
  <si>
    <t xml:space="preserve">Revenue Shortfall  (-Sensitivity%)</t>
  </si>
  <si>
    <t xml:space="preserve">NPV if all positive cash flows disappoint by the sensitivity threshold  ·  If negative: zero cushion on revenue side</t>
  </si>
  <si>
    <t xml:space="preserve">Margin of Safety  (NPV / Initial)</t>
  </si>
  <si>
    <t xml:space="preserve">If margin of safety &lt; sensitivity threshold: NPV does not have room to absorb a sensitivity-sized adverse move</t>
  </si>
  <si>
    <t xml:space="preserve">NPV Curve  ·  NPV vs. Discount Rate</t>
  </si>
  <si>
    <t xml:space="preserve">Select A4:B25 and Insert &gt; Recommended Charts &gt; Line to build the NPV curve  ·  NPV = $0 at the IRR</t>
  </si>
  <si>
    <t xml:space="preserve">Hurdle Rate:</t>
  </si>
  <si>
    <t xml:space="preserve">IRR (from DCF Model!B15) is the discount rate where the curve crosses $0</t>
  </si>
  <si>
    <t xml:space="preserve">Discount Rate</t>
  </si>
  <si>
    <t xml:space="preserve">NPV ($)</t>
  </si>
  <si>
    <t xml:space="preserve">Zone vs. Hurdle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</si>
</sst>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%"/>
    <numFmt numFmtId="167" formatCode="0%"/>
    <numFmt numFmtId="168" formatCode="\$#,##0;&quot;($&quot;#,##0\);\-"/>
    <numFmt numFmtId="169" formatCode="0.0000"/>
    <numFmt numFmtId="170" formatCode="\$#,##0.00;&quot;($&quot;#,##0.00\);\-"/>
    <numFmt numFmtId="171" formatCode="0.00%"/>
    <numFmt numFmtId="172" formatCode="0.00&quot; yrs&quot;"/>
    <numFmt numFmtId="173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2E5FA3"/>
        <bgColor rgb="FF4472C4"/>
      </patternFill>
    </fill>
    <fill>
      <patternFill patternType="solid">
        <fgColor rgb="FFD9E1F2"/>
        <bgColor rgb="FFE8F5E9"/>
      </patternFill>
    </fill>
    <fill>
      <patternFill patternType="solid">
        <fgColor rgb="FFF5F5F5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4F00"/>
        <sz val="10"/>
      </font>
      <fill>
        <patternFill>
          <bgColor rgb="FFFFEB9C"/>
        </patternFill>
      </fill>
    </dxf>
    <dxf>
      <fill>
        <patternFill>
          <bgColor rgb="FFE8F5E9"/>
        </patternFill>
      </fill>
    </dxf>
    <dxf>
      <fill>
        <patternFill>
          <bgColor rgb="FFFDECEA"/>
        </patternFill>
      </fill>
    </dxf>
    <dxf>
      <fill>
        <patternFill>
          <bgColor rgb="FFFFF8E1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375623"/>
        <sz val="9"/>
      </font>
    </dxf>
    <dxf>
      <font>
        <name val="Arial"/>
        <charset val="1"/>
        <family val="0"/>
        <i val="1"/>
        <color rgb="FF9C0006"/>
        <sz val="9"/>
      </font>
    </dxf>
    <dxf>
      <font>
        <name val="Arial"/>
        <charset val="1"/>
        <family val="0"/>
        <i val="1"/>
        <color rgb="FF7F4F0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8E1"/>
      <rgbColor rgb="FFE8F5E9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5F5F5"/>
      <rgbColor rgb="FFFDECEA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75623"/>
      <rgbColor rgb="FF7F4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.75" hidden="false" customHeight="true" outlineLevel="0" collapsed="false">
      <c r="A3" s="3" t="s">
        <v>2</v>
      </c>
      <c r="B3" s="3"/>
      <c r="C3" s="3"/>
    </row>
    <row r="5" customFormat="false" ht="19.5" hidden="false" customHeight="true" outlineLevel="0" collapsed="false">
      <c r="A5" s="4" t="s">
        <v>3</v>
      </c>
      <c r="B5" s="4"/>
      <c r="C5" s="4"/>
    </row>
    <row r="6" customFormat="false" ht="18" hidden="false" customHeight="true" outlineLevel="0" collapsed="false">
      <c r="A6" s="5" t="s">
        <v>4</v>
      </c>
      <c r="B6" s="5" t="s">
        <v>5</v>
      </c>
      <c r="C6" s="5" t="s">
        <v>6</v>
      </c>
    </row>
    <row r="7" customFormat="false" ht="19.5" hidden="false" customHeight="true" outlineLevel="0" collapsed="false">
      <c r="A7" s="6" t="s">
        <v>7</v>
      </c>
      <c r="B7" s="7" t="n">
        <v>100000</v>
      </c>
      <c r="C7" s="8" t="s">
        <v>8</v>
      </c>
    </row>
    <row r="8" customFormat="false" ht="19.5" hidden="false" customHeight="true" outlineLevel="0" collapsed="false">
      <c r="A8" s="6" t="s">
        <v>9</v>
      </c>
      <c r="B8" s="9" t="n">
        <v>0.1</v>
      </c>
      <c r="C8" s="8" t="s">
        <v>10</v>
      </c>
    </row>
    <row r="9" customFormat="false" ht="19.5" hidden="false" customHeight="true" outlineLevel="0" collapsed="false">
      <c r="A9" s="6" t="s">
        <v>11</v>
      </c>
      <c r="B9" s="10" t="n">
        <v>0.15</v>
      </c>
      <c r="C9" s="8" t="s">
        <v>12</v>
      </c>
    </row>
    <row r="11" customFormat="false" ht="19.5" hidden="false" customHeight="true" outlineLevel="0" collapsed="false">
      <c r="A11" s="4" t="s">
        <v>13</v>
      </c>
      <c r="B11" s="4"/>
      <c r="C11" s="4"/>
    </row>
    <row r="12" customFormat="false" ht="18" hidden="false" customHeight="true" outlineLevel="0" collapsed="false">
      <c r="A12" s="5" t="s">
        <v>14</v>
      </c>
      <c r="B12" s="5" t="s">
        <v>15</v>
      </c>
      <c r="C12" s="5" t="s">
        <v>6</v>
      </c>
    </row>
    <row r="13" customFormat="false" ht="19.5" hidden="false" customHeight="true" outlineLevel="0" collapsed="false">
      <c r="A13" s="6" t="s">
        <v>16</v>
      </c>
      <c r="B13" s="7" t="n">
        <v>35000</v>
      </c>
      <c r="C13" s="8" t="s">
        <v>17</v>
      </c>
    </row>
    <row r="14" customFormat="false" ht="19.5" hidden="false" customHeight="true" outlineLevel="0" collapsed="false">
      <c r="A14" s="6" t="s">
        <v>18</v>
      </c>
      <c r="B14" s="7" t="n">
        <v>40000</v>
      </c>
      <c r="C14" s="8" t="s">
        <v>17</v>
      </c>
    </row>
    <row r="15" customFormat="false" ht="19.5" hidden="false" customHeight="true" outlineLevel="0" collapsed="false">
      <c r="A15" s="6" t="s">
        <v>19</v>
      </c>
      <c r="B15" s="7" t="n">
        <v>50000</v>
      </c>
      <c r="C15" s="8" t="s">
        <v>20</v>
      </c>
    </row>
  </sheetData>
  <mergeCells count="5">
    <mergeCell ref="A1:C1"/>
    <mergeCell ref="A2:C2"/>
    <mergeCell ref="A3:C3"/>
    <mergeCell ref="A5:C5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11"/>
      <c r="B4" s="11" t="s">
        <v>23</v>
      </c>
      <c r="C4" s="11" t="s">
        <v>16</v>
      </c>
      <c r="D4" s="11" t="s">
        <v>18</v>
      </c>
      <c r="E4" s="11" t="s">
        <v>19</v>
      </c>
      <c r="F4" s="11"/>
    </row>
    <row r="5" customFormat="false" ht="15.75" hidden="false" customHeight="true" outlineLevel="0" collapsed="false">
      <c r="A5" s="12" t="s">
        <v>24</v>
      </c>
      <c r="B5" s="12" t="n">
        <v>0</v>
      </c>
      <c r="C5" s="12" t="n">
        <v>1</v>
      </c>
      <c r="D5" s="12" t="n">
        <v>2</v>
      </c>
      <c r="E5" s="12" t="n">
        <v>3</v>
      </c>
      <c r="F5" s="12" t="s">
        <v>25</v>
      </c>
    </row>
    <row r="6" customFormat="false" ht="19.5" hidden="false" customHeight="true" outlineLevel="0" collapsed="false">
      <c r="A6" s="13" t="s">
        <v>15</v>
      </c>
      <c r="B6" s="14" t="n">
        <f aca="false">-Assumptions!B7</f>
        <v>-100000</v>
      </c>
      <c r="C6" s="14" t="n">
        <f aca="false">Assumptions!B13</f>
        <v>35000</v>
      </c>
      <c r="D6" s="14" t="n">
        <f aca="false">Assumptions!B14</f>
        <v>40000</v>
      </c>
      <c r="E6" s="14" t="n">
        <f aca="false">Assumptions!B15</f>
        <v>50000</v>
      </c>
      <c r="F6" s="8" t="s">
        <v>26</v>
      </c>
    </row>
    <row r="7" customFormat="false" ht="19.5" hidden="false" customHeight="true" outlineLevel="0" collapsed="false">
      <c r="A7" s="13" t="s">
        <v>27</v>
      </c>
      <c r="B7" s="15" t="n">
        <f aca="false">1</f>
        <v>1</v>
      </c>
      <c r="C7" s="15" t="n">
        <f aca="false">1/(1+Assumptions!$B$8)^C5</f>
        <v>0.909090909090909</v>
      </c>
      <c r="D7" s="15" t="n">
        <f aca="false">1/(1+Assumptions!$B$8)^D5</f>
        <v>0.826446280991735</v>
      </c>
      <c r="E7" s="15" t="n">
        <f aca="false">1/(1+Assumptions!$B$8)^E5</f>
        <v>0.751314800901578</v>
      </c>
      <c r="F7" s="8" t="s">
        <v>28</v>
      </c>
    </row>
    <row r="8" customFormat="false" ht="19.5" hidden="false" customHeight="true" outlineLevel="0" collapsed="false">
      <c r="A8" s="13" t="s">
        <v>29</v>
      </c>
      <c r="B8" s="16" t="n">
        <f aca="false">B6*B7</f>
        <v>-100000</v>
      </c>
      <c r="C8" s="16" t="n">
        <f aca="false">C6*C7</f>
        <v>31818.1818181818</v>
      </c>
      <c r="D8" s="16" t="n">
        <f aca="false">D6*D7</f>
        <v>33057.8512396694</v>
      </c>
      <c r="E8" s="16" t="n">
        <f aca="false">E6*E7</f>
        <v>37565.7400450789</v>
      </c>
      <c r="F8" s="8" t="s">
        <v>30</v>
      </c>
    </row>
    <row r="9" customFormat="false" ht="19.5" hidden="false" customHeight="true" outlineLevel="0" collapsed="false">
      <c r="A9" s="13" t="s">
        <v>31</v>
      </c>
      <c r="B9" s="16" t="n">
        <f aca="false">B6</f>
        <v>-100000</v>
      </c>
      <c r="C9" s="16" t="n">
        <f aca="false">B9+C6</f>
        <v>-65000</v>
      </c>
      <c r="D9" s="16" t="n">
        <f aca="false">C9+D6</f>
        <v>-25000</v>
      </c>
      <c r="E9" s="16" t="n">
        <f aca="false">D9+E6</f>
        <v>25000</v>
      </c>
      <c r="F9" s="8" t="s">
        <v>32</v>
      </c>
    </row>
    <row r="10" customFormat="false" ht="19.5" hidden="false" customHeight="true" outlineLevel="0" collapsed="false">
      <c r="A10" s="13" t="s">
        <v>33</v>
      </c>
      <c r="B10" s="16" t="n">
        <f aca="false">B8</f>
        <v>-100000</v>
      </c>
      <c r="C10" s="16" t="n">
        <f aca="false">B10+C8</f>
        <v>-68181.8181818182</v>
      </c>
      <c r="D10" s="16" t="n">
        <f aca="false">C10+D8</f>
        <v>-35123.9669421488</v>
      </c>
      <c r="E10" s="16" t="n">
        <f aca="false">D10+E8</f>
        <v>2441.77310293012</v>
      </c>
      <c r="F10" s="8" t="s">
        <v>34</v>
      </c>
    </row>
    <row r="12" customFormat="false" ht="19.5" hidden="false" customHeight="true" outlineLevel="0" collapsed="false">
      <c r="A12" s="4" t="s">
        <v>35</v>
      </c>
      <c r="B12" s="4"/>
      <c r="C12" s="4"/>
      <c r="D12" s="4"/>
      <c r="E12" s="4"/>
      <c r="F12" s="4"/>
    </row>
    <row r="13" customFormat="false" ht="18" hidden="false" customHeight="true" outlineLevel="0" collapsed="false">
      <c r="A13" s="5" t="s">
        <v>36</v>
      </c>
      <c r="B13" s="5" t="s">
        <v>5</v>
      </c>
      <c r="C13" s="5" t="s">
        <v>37</v>
      </c>
      <c r="D13" s="5"/>
      <c r="E13" s="5"/>
      <c r="F13" s="5"/>
    </row>
    <row r="14" customFormat="false" ht="19.5" hidden="false" customHeight="true" outlineLevel="0" collapsed="false">
      <c r="A14" s="6" t="s">
        <v>38</v>
      </c>
      <c r="B14" s="17" t="n">
        <f aca="false">NPV(Assumptions!B8,C6,D6,E6)+B6</f>
        <v>2441.77310293011</v>
      </c>
      <c r="C14" s="18" t="s">
        <v>39</v>
      </c>
      <c r="D14" s="18"/>
      <c r="E14" s="18"/>
      <c r="F14" s="18"/>
    </row>
    <row r="15" customFormat="false" ht="19.5" hidden="false" customHeight="true" outlineLevel="0" collapsed="false">
      <c r="A15" s="6" t="s">
        <v>40</v>
      </c>
      <c r="B15" s="19" t="n">
        <f aca="false">IRR(B6:E6)</f>
        <v>0.113007588197515</v>
      </c>
      <c r="C15" s="18" t="s">
        <v>41</v>
      </c>
      <c r="D15" s="18"/>
      <c r="E15" s="18"/>
      <c r="F15" s="18"/>
    </row>
    <row r="16" customFormat="false" ht="19.5" hidden="false" customHeight="true" outlineLevel="0" collapsed="false">
      <c r="A16" s="6" t="s">
        <v>42</v>
      </c>
      <c r="B16" s="20" t="n">
        <f aca="false">IF(C9&gt;=0,ABS(B9)/C6,IF(D9&gt;=0,1+ABS(C9)/D6,IF(E9&gt;=0,2+ABS(D9)/E6,"N/A")))</f>
        <v>2.5</v>
      </c>
      <c r="C16" s="18" t="s">
        <v>43</v>
      </c>
      <c r="D16" s="18"/>
      <c r="E16" s="18"/>
      <c r="F16" s="18"/>
    </row>
    <row r="17" customFormat="false" ht="19.5" hidden="false" customHeight="true" outlineLevel="0" collapsed="false">
      <c r="A17" s="6" t="s">
        <v>44</v>
      </c>
      <c r="B17" s="20" t="n">
        <f aca="false">IF(C10&gt;=0,ABS(B10)/C8,IF(D10&gt;=0,1+ABS(C10)/D8,IF(E10&gt;=0,2+ABS(D10)/E8,"N/A")))</f>
        <v>2.935</v>
      </c>
      <c r="C17" s="18" t="s">
        <v>45</v>
      </c>
      <c r="D17" s="18"/>
      <c r="E17" s="18"/>
      <c r="F17" s="18"/>
    </row>
    <row r="18" customFormat="false" ht="19.5" hidden="false" customHeight="true" outlineLevel="0" collapsed="false">
      <c r="A18" s="6" t="s">
        <v>46</v>
      </c>
      <c r="B18" s="19" t="n">
        <f aca="false">B14/ABS(B6)</f>
        <v>0.0244177310293011</v>
      </c>
      <c r="C18" s="18" t="s">
        <v>47</v>
      </c>
      <c r="D18" s="18"/>
      <c r="E18" s="18"/>
      <c r="F18" s="18"/>
    </row>
  </sheetData>
  <mergeCells count="9">
    <mergeCell ref="A1:F1"/>
    <mergeCell ref="A2:F2"/>
    <mergeCell ref="A12:F12"/>
    <mergeCell ref="C13:F13"/>
    <mergeCell ref="C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48</v>
      </c>
      <c r="B1" s="1"/>
      <c r="C1" s="1"/>
      <c r="D1" s="1"/>
    </row>
    <row r="2" customFormat="false" ht="15" hidden="false" customHeight="false" outlineLevel="0" collapsed="false">
      <c r="A2" s="2" t="s">
        <v>49</v>
      </c>
      <c r="B2" s="2"/>
      <c r="C2" s="2"/>
      <c r="D2" s="2"/>
    </row>
    <row r="4" customFormat="false" ht="19.5" hidden="false" customHeight="true" outlineLevel="0" collapsed="false">
      <c r="A4" s="4" t="s">
        <v>50</v>
      </c>
      <c r="B4" s="4"/>
      <c r="C4" s="4"/>
      <c r="D4" s="4"/>
    </row>
    <row r="5" customFormat="false" ht="18" hidden="false" customHeight="true" outlineLevel="0" collapsed="false">
      <c r="A5" s="5" t="s">
        <v>51</v>
      </c>
      <c r="B5" s="5" t="s">
        <v>52</v>
      </c>
      <c r="C5" s="5" t="s">
        <v>53</v>
      </c>
      <c r="D5" s="5" t="s">
        <v>54</v>
      </c>
    </row>
    <row r="6" customFormat="false" ht="36" hidden="false" customHeight="true" outlineLevel="0" collapsed="false">
      <c r="A6" s="6" t="s">
        <v>55</v>
      </c>
      <c r="B6" s="21" t="str">
        <f aca="false">IF('DCF Model'!B14&gt;0,"Pass","Fail")</f>
        <v>Pass</v>
      </c>
      <c r="C6" s="22" t="s">
        <v>56</v>
      </c>
      <c r="D6" s="8" t="str">
        <f aca="false">IF('DCF Model'!B14&gt;0,"NPV is "&amp;TEXT('DCF Model'!B14,"$#,##0")&amp;" — project returns more than the "&amp;TEXT(Assumptions!B8,"0.0%")&amp;" cost of capital.","NPV is "&amp;TEXT('DCF Model'!B14,"$#,##0")&amp;" — project destroys value at the "&amp;TEXT(Assumptions!B8,"0.0%")&amp;" hurdle. Do not proceed.")</f>
        <v>NPV is $2,442 — project returns more than the 10.0% cost of capital.</v>
      </c>
    </row>
    <row r="7" customFormat="false" ht="36" hidden="false" customHeight="true" outlineLevel="0" collapsed="false">
      <c r="A7" s="6" t="s">
        <v>57</v>
      </c>
      <c r="B7" s="21" t="n">
        <f aca="false">'DCF Model'!B15-Assumptions!B8</f>
        <v>0.0130075881975152</v>
      </c>
      <c r="C7" s="23" t="n">
        <f aca="false">Assumptions!B9</f>
        <v>0.15</v>
      </c>
      <c r="D7" s="8" t="str">
        <f aca="false">IF(B7&lt;Assumptions!B9,"IRR of "&amp;TEXT('DCF Model'!B15,"0.00%")&amp;" is only "&amp;TEXT(B7,"0.00%")&amp;" above the "&amp;TEXT(Assumptions!B8,"0.0%")&amp;" hurdle — thinner than the "&amp;TEXT(Assumptions!B9,"0%")&amp;" sensitivity threshold.","IRR of "&amp;TEXT('DCF Model'!B15,"0.00%")&amp;" is "&amp;TEXT(B7,"0.00%")&amp;" above the "&amp;TEXT(Assumptions!B8,"0.0%")&amp;" hurdle — clears the "&amp;TEXT(Assumptions!B9,"0%")&amp;" sensitivity threshold.")</f>
        <v>IRR of 11.30% is only 1.30% above the 10.0% hurdle — thinner than the 15% sensitivity threshold.</v>
      </c>
    </row>
    <row r="8" customFormat="false" ht="36" hidden="false" customHeight="true" outlineLevel="0" collapsed="false">
      <c r="A8" s="6" t="s">
        <v>58</v>
      </c>
      <c r="B8" s="21" t="str">
        <f aca="false">IF(B7&lt;Assumptions!B9,"Thin","Comfortable")</f>
        <v>Thin</v>
      </c>
      <c r="C8" s="24" t="n">
        <f aca="false">Assumptions!B9</f>
        <v>0.15</v>
      </c>
      <c r="D8" s="8" t="str">
        <f aca="false">IF(B8="Thin","A "&amp;TEXT(Assumptions!B9,"0%")&amp;" adverse move in assumptions could eliminate the IRR advantage entirely. Primary risk flag.","Spread clears the "&amp;TEXT(Assumptions!B9,"0%")&amp;" sensitivity threshold. Comfortable margin of safety.")</f>
        <v>A 15% adverse move in assumptions could eliminate the IRR advantage entirely. Primary risk flag.</v>
      </c>
    </row>
    <row r="9" customFormat="false" ht="36" hidden="false" customHeight="true" outlineLevel="0" collapsed="false">
      <c r="A9" s="6" t="s">
        <v>59</v>
      </c>
      <c r="B9" s="21" t="n">
        <f aca="false">Assumptions!B7+'DCF Model'!B14</f>
        <v>102441.77310293</v>
      </c>
      <c r="C9" s="25" t="n">
        <f aca="false">Assumptions!B7</f>
        <v>100000</v>
      </c>
      <c r="D9" s="8" t="str">
        <f aca="false">"Paid "&amp;TEXT(Assumptions!B7,"$#,##0")&amp;". Break-even at "&amp;TEXT(B9,"$#,##0")&amp;" — buffer of "&amp;TEXT(B9-Assumptions!B7,"$#,##0")&amp;" ("&amp;TEXT((B9-Assumptions!B7)/Assumptions!B7,"0.0%")&amp;" of initial cost)."</f>
        <v>Paid $100,000. Break-even at $102,442 — buffer of $2,442 (2.4% of initial cost).</v>
      </c>
    </row>
    <row r="10" customFormat="false" ht="36" hidden="false" customHeight="true" outlineLevel="0" collapsed="false">
      <c r="A10" s="6" t="s">
        <v>60</v>
      </c>
      <c r="B10" s="21" t="str">
        <f aca="false">IF(B9&gt;=Assumptions!B7*(1+Assumptions!B9),"Pass","Fail")</f>
        <v>Fail</v>
      </c>
      <c r="C10" s="25" t="n">
        <f aca="false">Assumptions!B7*(1+Assumptions!B9)</f>
        <v>115000</v>
      </c>
      <c r="D10" s="8" t="str">
        <f aca="false">IF(B10="Fail","A "&amp;TEXT(Assumptions!B9,"0%")&amp;" cost overrun raises outlay to "&amp;TEXT(Assumptions!B7*(1+Assumptions!B9),"$#,##0")&amp;", above the "&amp;TEXT(B9,"$#,##0")&amp;" break-even. NPV turns negative. Thesis is fragile.","A "&amp;TEXT(Assumptions!B9,"0%")&amp;" cost overrun raises outlay to "&amp;TEXT(Assumptions!B7*(1+Assumptions!B9),"$#,##0")&amp;", still below the "&amp;TEXT(B9,"$#,##0")&amp;" break-even. Project can absorb this shock.")</f>
        <v>A 15% cost overrun raises outlay to $115,000, above the $102,442 break-even. NPV turns negative. Thesis is fragile.</v>
      </c>
    </row>
    <row r="11" customFormat="false" ht="36" hidden="false" customHeight="true" outlineLevel="0" collapsed="false">
      <c r="A11" s="6" t="s">
        <v>61</v>
      </c>
      <c r="B11" s="21" t="str">
        <f aca="false">IF('DCF Model'!B14&lt;0,"Reject",IF(AND(B8="Comfortable",B10="Pass"),"Proceed","Cautious"))</f>
        <v>Cautious</v>
      </c>
      <c r="C11" s="22" t="s">
        <v>62</v>
      </c>
      <c r="D11" s="8" t="str">
        <f aca="false">IF('DCF Model'!B14&lt;0,"Project destroys value. NPV is "&amp;TEXT('DCF Model'!B14,"$#,##0")&amp;" at a "&amp;TEXT(Assumptions!B8,"0.0%")&amp;" hurdle. Do not invest.",IF(AND(B8="Comfortable",B10="Pass"),"Strong thesis. NPV positive, spread comfortable, survives a "&amp;TEXT(Assumptions!B9,"0%")&amp;" cost shock. Proceed subject to execution risk.","NPV is positive but fragile: "&amp;IF(B8="Thin","spread of "&amp;TEXT(B7,"0.00%")&amp;" is below the "&amp;TEXT(Assumptions!B9,"0%")&amp;" threshold; ","spread is acceptable; ")&amp;IF(B10="Fail","a "&amp;TEXT(Assumptions!B9,"0%")&amp;" cost overrun flips NPV negative.","durability check passed.")&amp;" Proceed with active risk monitoring."))</f>
        <v>NPV is positive but fragile: spread of 1.30% is below the 15% threshold; a 15% cost overrun flips NPV negative. Proceed with active risk monitoring.</v>
      </c>
    </row>
    <row r="13" customFormat="false" ht="19.5" hidden="false" customHeight="true" outlineLevel="0" collapsed="false">
      <c r="A13" s="4" t="s">
        <v>63</v>
      </c>
      <c r="B13" s="4"/>
      <c r="C13" s="4"/>
      <c r="D13" s="4"/>
    </row>
    <row r="14" customFormat="false" ht="18" hidden="false" customHeight="true" outlineLevel="0" collapsed="false">
      <c r="A14" s="5" t="s">
        <v>64</v>
      </c>
      <c r="B14" s="5" t="s">
        <v>65</v>
      </c>
      <c r="C14" s="5" t="s">
        <v>66</v>
      </c>
      <c r="D14" s="5" t="s">
        <v>67</v>
      </c>
    </row>
    <row r="15" customFormat="false" ht="30" hidden="false" customHeight="true" outlineLevel="0" collapsed="false">
      <c r="A15" s="6" t="s">
        <v>68</v>
      </c>
      <c r="B15" s="17" t="n">
        <f aca="false">'DCF Model'!B14-Assumptions!B7*Assumptions!B9</f>
        <v>-12558.2268970699</v>
      </c>
      <c r="C15" s="26" t="n">
        <f aca="false">'DCF Model'!B14</f>
        <v>2441.77310293011</v>
      </c>
      <c r="D15" s="8" t="s">
        <v>69</v>
      </c>
    </row>
    <row r="16" customFormat="false" ht="30" hidden="false" customHeight="true" outlineLevel="0" collapsed="false">
      <c r="A16" s="6" t="s">
        <v>70</v>
      </c>
      <c r="B16" s="17" t="n">
        <f aca="false">NPV(Assumptions!B8,'DCF Model'!C6*(1-Assumptions!B9),'DCF Model'!D6*(1-Assumptions!B9),'DCF Model'!E6*(1-Assumptions!B9))+'DCF Model'!B6</f>
        <v>-12924.4928625094</v>
      </c>
      <c r="C16" s="26" t="n">
        <f aca="false">'DCF Model'!B14</f>
        <v>2441.77310293011</v>
      </c>
      <c r="D16" s="8" t="s">
        <v>71</v>
      </c>
    </row>
    <row r="17" customFormat="false" ht="30" hidden="false" customHeight="true" outlineLevel="0" collapsed="false">
      <c r="A17" s="6" t="s">
        <v>72</v>
      </c>
      <c r="B17" s="19" t="n">
        <f aca="false">'DCF Model'!B14/ABS('DCF Model'!B6)</f>
        <v>0.0244177310293011</v>
      </c>
      <c r="C17" s="27" t="n">
        <f aca="false">Assumptions!B9</f>
        <v>0.15</v>
      </c>
      <c r="D17" s="8" t="s">
        <v>73</v>
      </c>
    </row>
  </sheetData>
  <mergeCells count="4">
    <mergeCell ref="A1:D1"/>
    <mergeCell ref="A2:D2"/>
    <mergeCell ref="A4:D4"/>
    <mergeCell ref="A13:D13"/>
  </mergeCells>
  <conditionalFormatting sqref="B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B1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B8">
    <cfRule type="cellIs" priority="6" operator="equal" aboveAverage="0" equalAverage="0" bottom="0" percent="0" rank="0" text="" dxfId="0">
      <formula>"Comfortable"</formula>
    </cfRule>
    <cfRule type="cellIs" priority="7" operator="equal" aboveAverage="0" equalAverage="0" bottom="0" percent="0" rank="0" text="" dxfId="2">
      <formula>"Thin"</formula>
    </cfRule>
  </conditionalFormatting>
  <conditionalFormatting sqref="B11">
    <cfRule type="cellIs" priority="8" operator="equal" aboveAverage="0" equalAverage="0" bottom="0" percent="0" rank="0" text="" dxfId="0">
      <formula>"Proceed"</formula>
    </cfRule>
    <cfRule type="cellIs" priority="9" operator="equal" aboveAverage="0" equalAverage="0" bottom="0" percent="0" rank="0" text="" dxfId="2">
      <formula>"Cautious"</formula>
    </cfRule>
    <cfRule type="cellIs" priority="10" operator="equal" aboveAverage="0" equalAverage="0" bottom="0" percent="0" rank="0" text="" dxfId="1">
      <formula>"Reject"</formula>
    </cfRule>
  </conditionalFormatting>
  <conditionalFormatting sqref="A6:D6">
    <cfRule type="expression" priority="11" aboveAverage="0" equalAverage="0" bottom="0" percent="0" rank="0" text="" dxfId="3">
      <formula>$B$6="Pass"</formula>
    </cfRule>
    <cfRule type="expression" priority="12" aboveAverage="0" equalAverage="0" bottom="0" percent="0" rank="0" text="" dxfId="4">
      <formula>$B$6="Fail"</formula>
    </cfRule>
  </conditionalFormatting>
  <conditionalFormatting sqref="A7:D7">
    <cfRule type="expression" priority="13" aboveAverage="0" equalAverage="0" bottom="0" percent="0" rank="0" text="" dxfId="5">
      <formula>$B$8="Thin"</formula>
    </cfRule>
    <cfRule type="expression" priority="14" aboveAverage="0" equalAverage="0" bottom="0" percent="0" rank="0" text="" dxfId="3">
      <formula>$B$8="Comfortable"</formula>
    </cfRule>
  </conditionalFormatting>
  <conditionalFormatting sqref="A8:D8">
    <cfRule type="expression" priority="15" aboveAverage="0" equalAverage="0" bottom="0" percent="0" rank="0" text="" dxfId="5">
      <formula>$B$8="Thin"</formula>
    </cfRule>
    <cfRule type="expression" priority="16" aboveAverage="0" equalAverage="0" bottom="0" percent="0" rank="0" text="" dxfId="3">
      <formula>$B$8="Comfortable"</formula>
    </cfRule>
  </conditionalFormatting>
  <conditionalFormatting sqref="A10:D10">
    <cfRule type="expression" priority="17" aboveAverage="0" equalAverage="0" bottom="0" percent="0" rank="0" text="" dxfId="3">
      <formula>$B$10="Pass"</formula>
    </cfRule>
    <cfRule type="expression" priority="18" aboveAverage="0" equalAverage="0" bottom="0" percent="0" rank="0" text="" dxfId="4">
      <formula>$B$10="Fail"</formula>
    </cfRule>
  </conditionalFormatting>
  <conditionalFormatting sqref="A11:D11">
    <cfRule type="expression" priority="19" aboveAverage="0" equalAverage="0" bottom="0" percent="0" rank="0" text="" dxfId="6">
      <formula>$B$11="Proceed"</formula>
    </cfRule>
    <cfRule type="expression" priority="20" aboveAverage="0" equalAverage="0" bottom="0" percent="0" rank="0" text="" dxfId="7">
      <formula>$B$11="Cautious"</formula>
    </cfRule>
    <cfRule type="expression" priority="21" aboveAverage="0" equalAverage="0" bottom="0" percent="0" rank="0" text="" dxfId="8">
      <formula>$B$11="Reject"</formula>
    </cfRule>
  </conditionalFormatting>
  <conditionalFormatting sqref="D6">
    <cfRule type="expression" priority="22" aboveAverage="0" equalAverage="0" bottom="0" percent="0" rank="0" text="" dxfId="9">
      <formula>$B$6="Pass"</formula>
    </cfRule>
    <cfRule type="expression" priority="23" aboveAverage="0" equalAverage="0" bottom="0" percent="0" rank="0" text="" dxfId="10">
      <formula>$B$6="Fail"</formula>
    </cfRule>
  </conditionalFormatting>
  <conditionalFormatting sqref="D7">
    <cfRule type="expression" priority="24" aboveAverage="0" equalAverage="0" bottom="0" percent="0" rank="0" text="" dxfId="11">
      <formula>$B$8="Thin"</formula>
    </cfRule>
    <cfRule type="expression" priority="25" aboveAverage="0" equalAverage="0" bottom="0" percent="0" rank="0" text="" dxfId="9">
      <formula>$B$8="Comfortable"</formula>
    </cfRule>
  </conditionalFormatting>
  <conditionalFormatting sqref="D8">
    <cfRule type="expression" priority="26" aboveAverage="0" equalAverage="0" bottom="0" percent="0" rank="0" text="" dxfId="11">
      <formula>$B$8="Thin"</formula>
    </cfRule>
    <cfRule type="expression" priority="27" aboveAverage="0" equalAverage="0" bottom="0" percent="0" rank="0" text="" dxfId="9">
      <formula>$B$8="Comfortable"</formula>
    </cfRule>
  </conditionalFormatting>
  <conditionalFormatting sqref="D10">
    <cfRule type="expression" priority="28" aboveAverage="0" equalAverage="0" bottom="0" percent="0" rank="0" text="" dxfId="9">
      <formula>$B$10="Pass"</formula>
    </cfRule>
    <cfRule type="expression" priority="29" aboveAverage="0" equalAverage="0" bottom="0" percent="0" rank="0" text="" dxfId="10">
      <formula>$B$10="Fail"</formula>
    </cfRule>
  </conditionalFormatting>
  <conditionalFormatting sqref="D11">
    <cfRule type="expression" priority="30" aboveAverage="0" equalAverage="0" bottom="0" percent="0" rank="0" text="" dxfId="9">
      <formula>$B$11="Proceed"</formula>
    </cfRule>
    <cfRule type="expression" priority="31" aboveAverage="0" equalAverage="0" bottom="0" percent="0" rank="0" text="" dxfId="11">
      <formula>$B$11="Cautious"</formula>
    </cfRule>
    <cfRule type="expression" priority="32" aboveAverage="0" equalAverage="0" bottom="0" percent="0" rank="0" text="" dxfId="10">
      <formula>$B$11="Reject"</formula>
    </cfRule>
  </conditionalFormatting>
  <conditionalFormatting sqref="B15">
    <cfRule type="expression" priority="33" aboveAverage="0" equalAverage="0" bottom="0" percent="0" rank="0" text="" dxfId="0">
      <formula>B15&gt;0</formula>
    </cfRule>
    <cfRule type="expression" priority="34" aboveAverage="0" equalAverage="0" bottom="0" percent="0" rank="0" text="" dxfId="1">
      <formula>B15&lt;=0</formula>
    </cfRule>
  </conditionalFormatting>
  <conditionalFormatting sqref="B16">
    <cfRule type="expression" priority="35" aboveAverage="0" equalAverage="0" bottom="0" percent="0" rank="0" text="" dxfId="0">
      <formula>B16&gt;0</formula>
    </cfRule>
    <cfRule type="expression" priority="36" aboveAverage="0" equalAverage="0" bottom="0" percent="0" rank="0" text="" dxfId="1">
      <formula>B16&lt;=0</formula>
    </cfRule>
  </conditionalFormatting>
  <conditionalFormatting sqref="B17">
    <cfRule type="expression" priority="37" aboveAverage="0" equalAverage="0" bottom="0" percent="0" rank="0" text="" dxfId="0">
      <formula>$B$17&gt;=Assumptions!$B$9</formula>
    </cfRule>
    <cfRule type="expression" priority="38" aboveAverage="0" equalAverage="0" bottom="0" percent="0" rank="0" text="" dxfId="1">
      <formula>$B$17&lt;Assumptions!$B$9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4"/>
  </cols>
  <sheetData>
    <row r="1" customFormat="false" ht="30" hidden="false" customHeight="true" outlineLevel="0" collapsed="false">
      <c r="A1" s="1" t="s">
        <v>74</v>
      </c>
      <c r="B1" s="1"/>
      <c r="C1" s="1"/>
    </row>
    <row r="2" customFormat="false" ht="15" hidden="false" customHeight="false" outlineLevel="0" collapsed="false">
      <c r="A2" s="2" t="s">
        <v>75</v>
      </c>
      <c r="B2" s="2"/>
      <c r="C2" s="2"/>
    </row>
    <row r="3" customFormat="false" ht="19.5" hidden="false" customHeight="true" outlineLevel="0" collapsed="false">
      <c r="A3" s="6" t="s">
        <v>76</v>
      </c>
      <c r="B3" s="28" t="n">
        <f aca="false">Assumptions!B8</f>
        <v>0.1</v>
      </c>
      <c r="C3" s="8" t="s">
        <v>77</v>
      </c>
    </row>
    <row r="4" customFormat="false" ht="18" hidden="false" customHeight="true" outlineLevel="0" collapsed="false">
      <c r="A4" s="5" t="s">
        <v>78</v>
      </c>
      <c r="B4" s="5" t="s">
        <v>79</v>
      </c>
      <c r="C4" s="5" t="s">
        <v>80</v>
      </c>
    </row>
    <row r="5" customFormat="false" ht="18" hidden="false" customHeight="true" outlineLevel="0" collapsed="false">
      <c r="A5" s="10" t="n">
        <v>0</v>
      </c>
      <c r="B5" s="16" t="n">
        <f aca="false">NPV(A5,'DCF Model'!C6,'DCF Model'!D6,'DCF Model'!E6)+'DCF Model'!B6</f>
        <v>25000</v>
      </c>
      <c r="C5" s="29" t="str">
        <f aca="false">IF(A5&lt;Assumptions!$B$8,"Above Hurdle",IF(ABS(A5-Assumptions!$B$8)&lt;0.005,"At Hurdle","Below Hurdle"))</f>
        <v>Above Hurdle</v>
      </c>
    </row>
    <row r="6" customFormat="false" ht="18" hidden="false" customHeight="true" outlineLevel="0" collapsed="false">
      <c r="A6" s="10" t="n">
        <v>0.02</v>
      </c>
      <c r="B6" s="16" t="n">
        <f aca="false">NPV(A6,'DCF Model'!C6,'DCF Model'!D6,'DCF Model'!E6)+'DCF Model'!B6</f>
        <v>19876.5934670677</v>
      </c>
      <c r="C6" s="29" t="str">
        <f aca="false">IF(A6&lt;Assumptions!$B$8,"Above Hurdle",IF(ABS(A6-Assumptions!$B$8)&lt;0.005,"At Hurdle","Below Hurdle"))</f>
        <v>Above Hurdle</v>
      </c>
    </row>
    <row r="7" customFormat="false" ht="18" hidden="false" customHeight="true" outlineLevel="0" collapsed="false">
      <c r="A7" s="10" t="n">
        <v>0.04</v>
      </c>
      <c r="B7" s="16" t="n">
        <f aca="false">NPV(A7,'DCF Model'!C6,'DCF Model'!D6,'DCF Model'!E6)+'DCF Model'!B6</f>
        <v>15085.912608102</v>
      </c>
      <c r="C7" s="29" t="str">
        <f aca="false">IF(A7&lt;Assumptions!$B$8,"Above Hurdle",IF(ABS(A7-Assumptions!$B$8)&lt;0.005,"At Hurdle","Below Hurdle"))</f>
        <v>Above Hurdle</v>
      </c>
    </row>
    <row r="8" customFormat="false" ht="18" hidden="false" customHeight="true" outlineLevel="0" collapsed="false">
      <c r="A8" s="10" t="n">
        <v>0.06</v>
      </c>
      <c r="B8" s="16" t="n">
        <f aca="false">NPV(A8,'DCF Model'!C6,'DCF Model'!D6,'DCF Model'!E6)+'DCF Model'!B6</f>
        <v>10599.689676713</v>
      </c>
      <c r="C8" s="29" t="str">
        <f aca="false">IF(A8&lt;Assumptions!$B$8,"Above Hurdle",IF(ABS(A8-Assumptions!$B$8)&lt;0.005,"At Hurdle","Below Hurdle"))</f>
        <v>Above Hurdle</v>
      </c>
    </row>
    <row r="9" customFormat="false" ht="18" hidden="false" customHeight="true" outlineLevel="0" collapsed="false">
      <c r="A9" s="10" t="n">
        <v>0.08</v>
      </c>
      <c r="B9" s="16" t="n">
        <f aca="false">NPV(A9,'DCF Model'!C6,'DCF Model'!D6,'DCF Model'!E6)+'DCF Model'!B6</f>
        <v>6392.57227048722</v>
      </c>
      <c r="C9" s="29" t="str">
        <f aca="false">IF(A9&lt;Assumptions!$B$8,"Above Hurdle",IF(ABS(A9-Assumptions!$B$8)&lt;0.005,"At Hurdle","Below Hurdle"))</f>
        <v>Above Hurdle</v>
      </c>
    </row>
    <row r="10" customFormat="false" ht="18" hidden="false" customHeight="true" outlineLevel="0" collapsed="false">
      <c r="A10" s="10" t="n">
        <v>0.1</v>
      </c>
      <c r="B10" s="16" t="n">
        <f aca="false">NPV(A10,'DCF Model'!C6,'DCF Model'!D6,'DCF Model'!E6)+'DCF Model'!B6</f>
        <v>2441.77310293011</v>
      </c>
      <c r="C10" s="29" t="str">
        <f aca="false">IF(A10&lt;Assumptions!$B$8,"Above Hurdle",IF(ABS(A10-Assumptions!$B$8)&lt;0.005,"At Hurdle","Below Hurdle"))</f>
        <v>At Hurdle</v>
      </c>
    </row>
    <row r="11" customFormat="false" ht="18" hidden="false" customHeight="true" outlineLevel="0" collapsed="false">
      <c r="A11" s="10" t="n">
        <v>0.12</v>
      </c>
      <c r="B11" s="16" t="n">
        <f aca="false">NPV(A11,'DCF Model'!C6,'DCF Model'!D6,'DCF Model'!E6)+'DCF Model'!B6</f>
        <v>-1273.23250728866</v>
      </c>
      <c r="C11" s="29" t="str">
        <f aca="false">IF(A11&lt;Assumptions!$B$8,"Above Hurdle",IF(ABS(A11-Assumptions!$B$8)&lt;0.005,"At Hurdle","Below Hurdle"))</f>
        <v>Below Hurdle</v>
      </c>
    </row>
    <row r="12" customFormat="false" ht="18" hidden="false" customHeight="true" outlineLevel="0" collapsed="false">
      <c r="A12" s="10" t="n">
        <v>0.14</v>
      </c>
      <c r="B12" s="16" t="n">
        <f aca="false">NPV(A12,'DCF Model'!C6,'DCF Model'!D6,'DCF Model'!E6)+'DCF Model'!B6</f>
        <v>-4770.96866512235</v>
      </c>
      <c r="C12" s="29" t="str">
        <f aca="false">IF(A12&lt;Assumptions!$B$8,"Above Hurdle",IF(ABS(A12-Assumptions!$B$8)&lt;0.005,"At Hurdle","Below Hurdle"))</f>
        <v>Below Hurdle</v>
      </c>
    </row>
    <row r="13" customFormat="false" ht="18" hidden="false" customHeight="true" outlineLevel="0" collapsed="false">
      <c r="A13" s="10" t="n">
        <v>0.16</v>
      </c>
      <c r="B13" s="16" t="n">
        <f aca="false">NPV(A13,'DCF Model'!C6,'DCF Model'!D6,'DCF Model'!E6)+'DCF Model'!B6</f>
        <v>-8068.18647751035</v>
      </c>
      <c r="C13" s="29" t="str">
        <f aca="false">IF(A13&lt;Assumptions!$B$8,"Above Hurdle",IF(ABS(A13-Assumptions!$B$8)&lt;0.005,"At Hurdle","Below Hurdle"))</f>
        <v>Below Hurdle</v>
      </c>
    </row>
    <row r="14" customFormat="false" ht="18" hidden="false" customHeight="true" outlineLevel="0" collapsed="false">
      <c r="A14" s="10" t="n">
        <v>0.18</v>
      </c>
      <c r="B14" s="16" t="n">
        <f aca="false">NPV(A14,'DCF Model'!C6,'DCF Model'!D6,'DCF Model'!E6)+'DCF Model'!B6</f>
        <v>-11180.0622264204</v>
      </c>
      <c r="C14" s="29" t="str">
        <f aca="false">IF(A14&lt;Assumptions!$B$8,"Above Hurdle",IF(ABS(A14-Assumptions!$B$8)&lt;0.005,"At Hurdle","Below Hurdle"))</f>
        <v>Below Hurdle</v>
      </c>
    </row>
    <row r="15" customFormat="false" ht="18" hidden="false" customHeight="true" outlineLevel="0" collapsed="false">
      <c r="A15" s="10" t="n">
        <v>0.2</v>
      </c>
      <c r="B15" s="16" t="n">
        <f aca="false">NPV(A15,'DCF Model'!C6,'DCF Model'!D6,'DCF Model'!E6)+'DCF Model'!B6</f>
        <v>-14120.3703703704</v>
      </c>
      <c r="C15" s="29" t="str">
        <f aca="false">IF(A15&lt;Assumptions!$B$8,"Above Hurdle",IF(ABS(A15-Assumptions!$B$8)&lt;0.005,"At Hurdle","Below Hurdle"))</f>
        <v>Below Hurdle</v>
      </c>
    </row>
    <row r="16" customFormat="false" ht="18" hidden="false" customHeight="true" outlineLevel="0" collapsed="false">
      <c r="A16" s="10" t="n">
        <v>0.22</v>
      </c>
      <c r="B16" s="16" t="n">
        <f aca="false">NPV(A16,'DCF Model'!C6,'DCF Model'!D6,'DCF Model'!E6)+'DCF Model'!B6</f>
        <v>-16901.6349386072</v>
      </c>
      <c r="C16" s="29" t="str">
        <f aca="false">IF(A16&lt;Assumptions!$B$8,"Above Hurdle",IF(ABS(A16-Assumptions!$B$8)&lt;0.005,"At Hurdle","Below Hurdle"))</f>
        <v>Below Hurdle</v>
      </c>
    </row>
    <row r="17" customFormat="false" ht="18" hidden="false" customHeight="true" outlineLevel="0" collapsed="false">
      <c r="A17" s="10" t="n">
        <v>0.24</v>
      </c>
      <c r="B17" s="16" t="n">
        <f aca="false">NPV(A17,'DCF Model'!C6,'DCF Model'!D6,'DCF Model'!E6)+'DCF Model'!B6</f>
        <v>-19535.2623275486</v>
      </c>
      <c r="C17" s="29" t="str">
        <f aca="false">IF(A17&lt;Assumptions!$B$8,"Above Hurdle",IF(ABS(A17-Assumptions!$B$8)&lt;0.005,"At Hurdle","Below Hurdle"))</f>
        <v>Below Hurdle</v>
      </c>
    </row>
    <row r="18" customFormat="false" ht="18" hidden="false" customHeight="true" outlineLevel="0" collapsed="false">
      <c r="A18" s="10" t="n">
        <v>0.26</v>
      </c>
      <c r="B18" s="16" t="n">
        <f aca="false">NPV(A18,'DCF Model'!C6,'DCF Model'!D6,'DCF Model'!E6)+'DCF Model'!B6</f>
        <v>-22031.6580482869</v>
      </c>
      <c r="C18" s="29" t="str">
        <f aca="false">IF(A18&lt;Assumptions!$B$8,"Above Hurdle",IF(ABS(A18-Assumptions!$B$8)&lt;0.005,"At Hurdle","Below Hurdle"))</f>
        <v>Below Hurdle</v>
      </c>
    </row>
    <row r="19" customFormat="false" ht="18" hidden="false" customHeight="true" outlineLevel="0" collapsed="false">
      <c r="A19" s="10" t="n">
        <v>0.28</v>
      </c>
      <c r="B19" s="16" t="n">
        <f aca="false">NPV(A19,'DCF Model'!C6,'DCF Model'!D6,'DCF Model'!E6)+'DCF Model'!B6</f>
        <v>-24400.3295898438</v>
      </c>
      <c r="C19" s="29" t="str">
        <f aca="false">IF(A19&lt;Assumptions!$B$8,"Above Hurdle",IF(ABS(A19-Assumptions!$B$8)&lt;0.005,"At Hurdle","Below Hurdle"))</f>
        <v>Below Hurdle</v>
      </c>
    </row>
    <row r="20" customFormat="false" ht="18" hidden="false" customHeight="true" outlineLevel="0" collapsed="false">
      <c r="A20" s="10" t="n">
        <v>0.3</v>
      </c>
      <c r="B20" s="16" t="n">
        <f aca="false">NPV(A20,'DCF Model'!C6,'DCF Model'!D6,'DCF Model'!E6)+'DCF Model'!B6</f>
        <v>-26649.9772416932</v>
      </c>
      <c r="C20" s="29" t="str">
        <f aca="false">IF(A20&lt;Assumptions!$B$8,"Above Hurdle",IF(ABS(A20-Assumptions!$B$8)&lt;0.005,"At Hurdle","Below Hurdle"))</f>
        <v>Below Hurdle</v>
      </c>
    </row>
    <row r="21" customFormat="false" ht="18" hidden="false" customHeight="true" outlineLevel="0" collapsed="false">
      <c r="A21" s="10" t="n">
        <v>0.32</v>
      </c>
      <c r="B21" s="16" t="n">
        <f aca="false">NPV(A21,'DCF Model'!C6,'DCF Model'!D6,'DCF Model'!E6)+'DCF Model'!B6</f>
        <v>-28788.5744497315</v>
      </c>
      <c r="C21" s="29" t="str">
        <f aca="false">IF(A21&lt;Assumptions!$B$8,"Above Hurdle",IF(ABS(A21-Assumptions!$B$8)&lt;0.005,"At Hurdle","Below Hurdle"))</f>
        <v>Below Hurdle</v>
      </c>
    </row>
    <row r="22" customFormat="false" ht="18" hidden="false" customHeight="true" outlineLevel="0" collapsed="false">
      <c r="A22" s="10" t="n">
        <v>0.34</v>
      </c>
      <c r="B22" s="16" t="n">
        <f aca="false">NPV(A22,'DCF Model'!C6,'DCF Model'!D6,'DCF Model'!E6)+'DCF Model'!B6</f>
        <v>-30823.439053341</v>
      </c>
      <c r="C22" s="29" t="str">
        <f aca="false">IF(A22&lt;Assumptions!$B$8,"Above Hurdle",IF(ABS(A22-Assumptions!$B$8)&lt;0.005,"At Hurdle","Below Hurdle"))</f>
        <v>Below Hurdle</v>
      </c>
    </row>
    <row r="23" customFormat="false" ht="18" hidden="false" customHeight="true" outlineLevel="0" collapsed="false">
      <c r="A23" s="10" t="n">
        <v>0.36</v>
      </c>
      <c r="B23" s="16" t="n">
        <f aca="false">NPV(A23,'DCF Model'!C6,'DCF Model'!D6,'DCF Model'!E6)+'DCF Model'!B6</f>
        <v>-32761.2965601465</v>
      </c>
      <c r="C23" s="29" t="str">
        <f aca="false">IF(A23&lt;Assumptions!$B$8,"Above Hurdle",IF(ABS(A23-Assumptions!$B$8)&lt;0.005,"At Hurdle","Below Hurdle"))</f>
        <v>Below Hurdle</v>
      </c>
    </row>
    <row r="24" customFormat="false" ht="18" hidden="false" customHeight="true" outlineLevel="0" collapsed="false">
      <c r="A24" s="10" t="n">
        <v>0.38</v>
      </c>
      <c r="B24" s="16" t="n">
        <f aca="false">NPV(A24,'DCF Model'!C6,'DCF Model'!D6,'DCF Model'!E6)+'DCF Model'!B6</f>
        <v>-34608.3364534914</v>
      </c>
      <c r="C24" s="29" t="str">
        <f aca="false">IF(A24&lt;Assumptions!$B$8,"Above Hurdle",IF(ABS(A24-Assumptions!$B$8)&lt;0.005,"At Hurdle","Below Hurdle"))</f>
        <v>Below Hurdle</v>
      </c>
    </row>
    <row r="25" customFormat="false" ht="18" hidden="false" customHeight="true" outlineLevel="0" collapsed="false">
      <c r="A25" s="10" t="n">
        <v>0.4</v>
      </c>
      <c r="B25" s="16" t="n">
        <f aca="false">NPV(A25,'DCF Model'!C6,'DCF Model'!D6,'DCF Model'!E6)+'DCF Model'!B6</f>
        <v>-36370.2623906706</v>
      </c>
      <c r="C25" s="29" t="str">
        <f aca="false">IF(A25&lt;Assumptions!$B$8,"Above Hurdle",IF(ABS(A25-Assumptions!$B$8)&lt;0.005,"At Hurdle","Below Hurdle"))</f>
        <v>Below Hurdle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2026-06-06T13:57:08Z</dcterms:created>
  <dc:creator>openpyxl</dc:creator>
  <dc:description/>
  <dc:language>en-US</dc:language>
  <cp:lastModifiedBy/>
  <dcterms:modified xsi:type="dcterms:W3CDTF">2026-06-06T13:57:08Z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